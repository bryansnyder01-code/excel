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'Income'!$A$1:$H$4</definedName>
    <definedName name="_xlnm.Print_Titles" localSheetId="0">'Income'!$1:$1</definedName>
    <definedName name="_xlnm._FilterDatabase" localSheetId="1" hidden="1">'Expenses'!$A$1:$J$6</definedName>
    <definedName name="_xlnm.Print_Titles" localSheetId="1">'Expenses'!$1:$1</definedName>
    <definedName name="_xlnm._FilterDatabase" localSheetId="2" hidden="1">'Summary'!$A$1:$E$7</definedName>
    <definedName name="_xlnm.Print_Titles" localSheetId="2">'Summary'!$1:$1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-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49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Source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</row>
    <row r="2">
      <c r="A2" s="2" t="inlineStr">
        <is>
          <t>Product sales</t>
        </is>
      </c>
      <c r="B2" s="3" t="n">
        <v>12000</v>
      </c>
      <c r="C2" s="3" t="n">
        <v>13500</v>
      </c>
      <c r="D2" s="3" t="n">
        <v>12800</v>
      </c>
      <c r="E2" s="3" t="n">
        <v>14200</v>
      </c>
      <c r="F2" s="3" t="n">
        <v>15100</v>
      </c>
      <c r="G2" s="3" t="n">
        <v>16000</v>
      </c>
      <c r="H2" s="3">
        <f>SUM(B2:G2)</f>
        <v/>
      </c>
    </row>
    <row r="3">
      <c r="A3" s="4" t="inlineStr">
        <is>
          <t>Consulting</t>
        </is>
      </c>
      <c r="B3" s="5" t="n">
        <v>4000</v>
      </c>
      <c r="C3" s="5" t="n">
        <v>3500</v>
      </c>
      <c r="D3" s="5" t="n">
        <v>5200</v>
      </c>
      <c r="E3" s="5" t="n">
        <v>4800</v>
      </c>
      <c r="F3" s="5" t="n">
        <v>5000</v>
      </c>
      <c r="G3" s="5" t="n">
        <v>6100</v>
      </c>
      <c r="H3" s="5">
        <f>SUM(B3:G3)</f>
        <v/>
      </c>
    </row>
    <row r="4">
      <c r="A4" s="2" t="inlineStr">
        <is>
          <t>Subscriptions</t>
        </is>
      </c>
      <c r="B4" s="3" t="n">
        <v>1800</v>
      </c>
      <c r="C4" s="3" t="n">
        <v>1900</v>
      </c>
      <c r="D4" s="3" t="n">
        <v>2050</v>
      </c>
      <c r="E4" s="3" t="n">
        <v>2100</v>
      </c>
      <c r="F4" s="3" t="n">
        <v>2300</v>
      </c>
      <c r="G4" s="3" t="n">
        <v>2400</v>
      </c>
      <c r="H4" s="3">
        <f>SUM(B4:G4)</f>
        <v/>
      </c>
    </row>
    <row r="5">
      <c r="A5" s="6" t="inlineStr">
        <is>
          <t>Total income</t>
        </is>
      </c>
      <c r="B5" s="7">
        <f>SUM(B2:B4)</f>
        <v/>
      </c>
      <c r="C5" s="7">
        <f>SUM(C2:C4)</f>
        <v/>
      </c>
      <c r="D5" s="7">
        <f>SUM(D2:D4)</f>
        <v/>
      </c>
      <c r="E5" s="7">
        <f>SUM(E2:E4)</f>
        <v/>
      </c>
      <c r="F5" s="7">
        <f>SUM(F2:F4)</f>
        <v/>
      </c>
      <c r="G5" s="7">
        <f>SUM(G2:G4)</f>
        <v/>
      </c>
      <c r="H5" s="7">
        <f>SUM(H2:H4)</f>
        <v/>
      </c>
    </row>
  </sheetData>
  <autoFilter ref="A1:H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</cols>
  <sheetData>
    <row r="1" ht="22" customHeight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  <c r="I1" s="1" t="inlineStr">
        <is>
          <t>Tax (15%)</t>
        </is>
      </c>
      <c r="J1" s="1" t="inlineStr">
        <is>
          <t>Spend Level</t>
        </is>
      </c>
    </row>
    <row r="2">
      <c r="A2" s="2" t="inlineStr">
        <is>
          <t>Rent</t>
        </is>
      </c>
      <c r="B2" s="3" t="n">
        <v>3000</v>
      </c>
      <c r="C2" s="3" t="n">
        <v>3000</v>
      </c>
      <c r="D2" s="3" t="n">
        <v>3000</v>
      </c>
      <c r="E2" s="3" t="n">
        <v>3000</v>
      </c>
      <c r="F2" s="3" t="n">
        <v>3000</v>
      </c>
      <c r="G2" s="3" t="n">
        <v>3000</v>
      </c>
      <c r="H2" s="3">
        <f>SUM(B2:G2)</f>
        <v/>
      </c>
      <c r="I2" s="3">
        <f>H2*0.15</f>
        <v/>
      </c>
      <c r="J2" s="8">
        <f>IF(H2&gt;10000,"High","Low")</f>
        <v/>
      </c>
    </row>
    <row r="3">
      <c r="A3" s="4" t="inlineStr">
        <is>
          <t>Payroll</t>
        </is>
      </c>
      <c r="B3" s="5" t="n">
        <v>8500</v>
      </c>
      <c r="C3" s="5" t="n">
        <v>8500</v>
      </c>
      <c r="D3" s="5" t="n">
        <v>9000</v>
      </c>
      <c r="E3" s="5" t="n">
        <v>9000</v>
      </c>
      <c r="F3" s="5" t="n">
        <v>9200</v>
      </c>
      <c r="G3" s="5" t="n">
        <v>9200</v>
      </c>
      <c r="H3" s="5">
        <f>SUM(B3:G3)</f>
        <v/>
      </c>
      <c r="I3" s="5">
        <f>H3*0.15</f>
        <v/>
      </c>
      <c r="J3" s="9">
        <f>IF(H3&gt;10000,"High","Low")</f>
        <v/>
      </c>
    </row>
    <row r="4">
      <c r="A4" s="2" t="inlineStr">
        <is>
          <t>Marketing</t>
        </is>
      </c>
      <c r="B4" s="3" t="n">
        <v>1200</v>
      </c>
      <c r="C4" s="3" t="n">
        <v>1500</v>
      </c>
      <c r="D4" s="3" t="n">
        <v>1100</v>
      </c>
      <c r="E4" s="3" t="n">
        <v>1800</v>
      </c>
      <c r="F4" s="3" t="n">
        <v>2000</v>
      </c>
      <c r="G4" s="3" t="n">
        <v>1700</v>
      </c>
      <c r="H4" s="3">
        <f>SUM(B4:G4)</f>
        <v/>
      </c>
      <c r="I4" s="3">
        <f>H4*0.15</f>
        <v/>
      </c>
      <c r="J4" s="8">
        <f>IF(H4&gt;10000,"High","Low")</f>
        <v/>
      </c>
    </row>
    <row r="5">
      <c r="A5" s="4" t="inlineStr">
        <is>
          <t>Software</t>
        </is>
      </c>
      <c r="B5" s="5" t="n">
        <v>450</v>
      </c>
      <c r="C5" s="5" t="n">
        <v>450</v>
      </c>
      <c r="D5" s="5" t="n">
        <v>480</v>
      </c>
      <c r="E5" s="5" t="n">
        <v>480</v>
      </c>
      <c r="F5" s="5" t="n">
        <v>500</v>
      </c>
      <c r="G5" s="5" t="n">
        <v>500</v>
      </c>
      <c r="H5" s="5">
        <f>SUM(B5:G5)</f>
        <v/>
      </c>
      <c r="I5" s="5">
        <f>H5*0.15</f>
        <v/>
      </c>
      <c r="J5" s="9">
        <f>IF(H5&gt;10000,"High","Low")</f>
        <v/>
      </c>
    </row>
    <row r="6">
      <c r="A6" s="2" t="inlineStr">
        <is>
          <t>Utilities</t>
        </is>
      </c>
      <c r="B6" s="3" t="n">
        <v>320</v>
      </c>
      <c r="C6" s="3" t="n">
        <v>300</v>
      </c>
      <c r="D6" s="3" t="n">
        <v>290</v>
      </c>
      <c r="E6" s="3" t="n">
        <v>280</v>
      </c>
      <c r="F6" s="3" t="n">
        <v>310</v>
      </c>
      <c r="G6" s="3" t="n">
        <v>330</v>
      </c>
      <c r="H6" s="3">
        <f>SUM(B6:G6)</f>
        <v/>
      </c>
      <c r="I6" s="3">
        <f>H6*0.15</f>
        <v/>
      </c>
      <c r="J6" s="8">
        <f>IF(H6&gt;10000,"High","Low")</f>
        <v/>
      </c>
    </row>
    <row r="7">
      <c r="A7" s="6" t="inlineStr">
        <is>
          <t>Total expenses</t>
        </is>
      </c>
      <c r="B7" s="7">
        <f>SUM(B2:B6)</f>
        <v/>
      </c>
      <c r="C7" s="7">
        <f>SUM(C2:C6)</f>
        <v/>
      </c>
      <c r="D7" s="7">
        <f>SUM(D2:D6)</f>
        <v/>
      </c>
      <c r="E7" s="7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6" t="n"/>
    </row>
  </sheetData>
  <autoFilter ref="A1:J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1" t="inlineStr">
        <is>
          <t>Month</t>
        </is>
      </c>
      <c r="B1" s="1" t="inlineStr">
        <is>
          <t>Income</t>
        </is>
      </c>
      <c r="C1" s="1" t="inlineStr">
        <is>
          <t>Expenses</t>
        </is>
      </c>
      <c r="D1" s="1" t="inlineStr">
        <is>
          <t>Net Profit</t>
        </is>
      </c>
      <c r="E1" s="1" t="inlineStr">
        <is>
          <t>Margin</t>
        </is>
      </c>
    </row>
    <row r="2">
      <c r="A2" s="2" t="inlineStr">
        <is>
          <t>Jan</t>
        </is>
      </c>
      <c r="B2" s="3">
        <f>'Income'!B5</f>
        <v/>
      </c>
      <c r="C2" s="3">
        <f>'Expenses'!B7</f>
        <v/>
      </c>
      <c r="D2" s="3">
        <f>B2-C2</f>
        <v/>
      </c>
      <c r="E2" s="10">
        <f>IFERROR(D2/B2,0)</f>
        <v/>
      </c>
    </row>
    <row r="3">
      <c r="A3" s="4" t="inlineStr">
        <is>
          <t>Feb</t>
        </is>
      </c>
      <c r="B3" s="5">
        <f>'Income'!C5</f>
        <v/>
      </c>
      <c r="C3" s="5">
        <f>'Expenses'!C7</f>
        <v/>
      </c>
      <c r="D3" s="5">
        <f>B3-C3</f>
        <v/>
      </c>
      <c r="E3" s="11">
        <f>IFERROR(D3/B3,0)</f>
        <v/>
      </c>
    </row>
    <row r="4">
      <c r="A4" s="2" t="inlineStr">
        <is>
          <t>Mar</t>
        </is>
      </c>
      <c r="B4" s="3">
        <f>'Income'!D5</f>
        <v/>
      </c>
      <c r="C4" s="3">
        <f>'Expenses'!D7</f>
        <v/>
      </c>
      <c r="D4" s="3">
        <f>B4-C4</f>
        <v/>
      </c>
      <c r="E4" s="10">
        <f>IFERROR(D4/B4,0)</f>
        <v/>
      </c>
    </row>
    <row r="5">
      <c r="A5" s="4" t="inlineStr">
        <is>
          <t>Apr</t>
        </is>
      </c>
      <c r="B5" s="5">
        <f>'Income'!E5</f>
        <v/>
      </c>
      <c r="C5" s="5">
        <f>'Expenses'!E7</f>
        <v/>
      </c>
      <c r="D5" s="5">
        <f>B5-C5</f>
        <v/>
      </c>
      <c r="E5" s="11">
        <f>IFERROR(D5/B5,0)</f>
        <v/>
      </c>
    </row>
    <row r="6">
      <c r="A6" s="2" t="inlineStr">
        <is>
          <t>May</t>
        </is>
      </c>
      <c r="B6" s="3">
        <f>'Income'!F5</f>
        <v/>
      </c>
      <c r="C6" s="3">
        <f>'Expenses'!F7</f>
        <v/>
      </c>
      <c r="D6" s="3">
        <f>B6-C6</f>
        <v/>
      </c>
      <c r="E6" s="10">
        <f>IFERROR(D6/B6,0)</f>
        <v/>
      </c>
    </row>
    <row r="7">
      <c r="A7" s="4" t="inlineStr">
        <is>
          <t>Jun</t>
        </is>
      </c>
      <c r="B7" s="5">
        <f>'Income'!G5</f>
        <v/>
      </c>
      <c r="C7" s="5">
        <f>'Expenses'!G7</f>
        <v/>
      </c>
      <c r="D7" s="5">
        <f>B7-C7</f>
        <v/>
      </c>
      <c r="E7" s="11">
        <f>IFERROR(D7/B7,0)</f>
        <v/>
      </c>
    </row>
    <row r="8">
      <c r="A8" s="6" t="inlineStr">
        <is>
          <t>Total</t>
        </is>
      </c>
      <c r="B8" s="7">
        <f>SUM(B2:B7)</f>
        <v/>
      </c>
      <c r="C8" s="7">
        <f>SUM(C2:C7)</f>
        <v/>
      </c>
      <c r="D8" s="7">
        <f>B8-C8</f>
        <v/>
      </c>
      <c r="E8" s="12">
        <f>IFERROR(D8/B8,0)</f>
        <v/>
      </c>
    </row>
  </sheetData>
  <autoFilter ref="A1:E7"/>
  <conditionalFormatting sqref="D2:D8">
    <cfRule type="cellIs" priority="1" operator="lessThan" dxfId="0">
      <formula>0</formula>
    </cfRule>
  </conditionalFormatting>
  <conditionalFormatting sqref="E2:E7">
    <cfRule type="cellIs" priority="2" operator="greaterThan" dxfId="1">
      <formula>0.25</formula>
    </cfRule>
  </conditionalFormatting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SheetCraft AI</dc:creator>
  <dc:title xmlns:dc="http://purl.org/dc/elements/1.1/">Small Business Budget H1</dc:title>
  <dcterms:created xmlns:dcterms="http://purl.org/dc/terms/" xmlns:xsi="http://www.w3.org/2001/XMLSchema-instance" xsi:type="dcterms:W3CDTF">2026-10-18T18:57:14Z</dcterms:created>
  <dcterms:modified xmlns:dcterms="http://purl.org/dc/terms/" xmlns:xsi="http://www.w3.org/2001/XMLSchema-instance" xsi:type="dcterms:W3CDTF">2026-10-18T18:57:14Z</dcterms:modified>
</cp:coreProperties>
</file>